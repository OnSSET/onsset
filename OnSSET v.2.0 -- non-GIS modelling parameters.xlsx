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\OneDrive\Dokument\GitHub\onsset\onsset\"/>
    </mc:Choice>
  </mc:AlternateContent>
  <xr:revisionPtr revIDLastSave="0" documentId="8_{BDE72A2E-7467-4274-9AB9-97A16058EB9A}" xr6:coauthVersionLast="47" xr6:coauthVersionMax="47" xr10:uidLastSave="{00000000-0000-0000-0000-000000000000}"/>
  <bookViews>
    <workbookView xWindow="28680" yWindow="-6375" windowWidth="20715" windowHeight="12315" activeTab="1" xr2:uid="{00000000-000D-0000-FFFF-FFFF00000000}"/>
  </bookViews>
  <sheets>
    <sheet name="Instructions" sheetId="2" r:id="rId1"/>
    <sheet name="Country parameters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7" i="1" l="1"/>
  <c r="D20" i="1"/>
</calcChain>
</file>

<file path=xl/sharedStrings.xml><?xml version="1.0" encoding="utf-8"?>
<sst xmlns="http://schemas.openxmlformats.org/spreadsheetml/2006/main" count="303" uniqueCount="155">
  <si>
    <t>#</t>
  </si>
  <si>
    <t>Section</t>
  </si>
  <si>
    <t>Parameter</t>
  </si>
  <si>
    <t>Unit</t>
  </si>
  <si>
    <t>Default Assumption</t>
  </si>
  <si>
    <t>Description</t>
  </si>
  <si>
    <t>Source</t>
  </si>
  <si>
    <t xml:space="preserve">GIS data Selection </t>
  </si>
  <si>
    <t>year</t>
  </si>
  <si>
    <t>The start year of the analysis. Starting at the first complete year.</t>
  </si>
  <si>
    <t>The end year for the results</t>
  </si>
  <si>
    <t>share</t>
  </si>
  <si>
    <t>E.g. 1 for 100% electrification rate or 0.80 for 80% electrification rate, to be achieved by the final year</t>
  </si>
  <si>
    <t xml:space="preserve">Write the population in the base year (e.g. 2020) </t>
  </si>
  <si>
    <t>people/HH</t>
  </si>
  <si>
    <t>Write the number of people per household expected in urban areas</t>
  </si>
  <si>
    <t>Write the number of people per household expected in rural areas</t>
  </si>
  <si>
    <t>USD/kWh</t>
  </si>
  <si>
    <t>USD/kW</t>
  </si>
  <si>
    <t>The fraction of electricity lost in transmission over the HV backbone (e.g 0.08 for 8%)</t>
  </si>
  <si>
    <t>USD/liter</t>
  </si>
  <si>
    <t>Mini-grid Hydro system capital cost (USD/kW) as expected in the analysis</t>
  </si>
  <si>
    <t>years</t>
  </si>
  <si>
    <t>Expected technology life of hydropower generation (years)</t>
  </si>
  <si>
    <t>Expected technology life of PV panels (years)</t>
  </si>
  <si>
    <t>USD/kVA</t>
  </si>
  <si>
    <t>USD/kVA for diesel generators</t>
  </si>
  <si>
    <t>Expected technology life of diesel generator (years)</t>
  </si>
  <si>
    <t>USD/kWh of storage capacity for batteries</t>
  </si>
  <si>
    <t>USD /kW</t>
  </si>
  <si>
    <t>Battery inverter cost (USD /kW)</t>
  </si>
  <si>
    <t>Stand-alone PV capital cost (USD/kW) for household systems under 6 W</t>
  </si>
  <si>
    <t>Stand-alone PV capital cost (USD/kW) for household systems between 6-30 W</t>
  </si>
  <si>
    <t>Stand-alone PV capital cost (USD/kW) for household systems between 30-80 W</t>
  </si>
  <si>
    <t>Stand-alone PV capital cost (USD/kW) for household systems between 80-200 W</t>
  </si>
  <si>
    <t>Stand-alone PV capital cost (USD/kW) for household systems over 200W</t>
  </si>
  <si>
    <t>Expected lifetime of stand-alone solar PV systems (years)</t>
  </si>
  <si>
    <t>kV</t>
  </si>
  <si>
    <t>USD/km</t>
  </si>
  <si>
    <t>km</t>
  </si>
  <si>
    <t>lv_line_cost</t>
  </si>
  <si>
    <t>Distribution losses</t>
  </si>
  <si>
    <t>USD/unit</t>
  </si>
  <si>
    <t>USD/unit (1000 kVA)</t>
  </si>
  <si>
    <t>kVa</t>
  </si>
  <si>
    <t>numeric</t>
  </si>
  <si>
    <t>maximum number of nodes served by each service transformer</t>
  </si>
  <si>
    <t>USD per connection</t>
  </si>
  <si>
    <t>The list of GIS data depends on the scope of the analysis; in general ~18-22 datasets are needed for a typical OnSSET model. Documentation is available here https://gep-onsset.readthedocs.io/en/latest/GIS%20data%20collection.html</t>
  </si>
  <si>
    <t>Modelling period &amp; Targets</t>
  </si>
  <si>
    <t>Start year</t>
  </si>
  <si>
    <t xml:space="preserve">End year </t>
  </si>
  <si>
    <t>Current national electricity access rate</t>
  </si>
  <si>
    <t xml:space="preserve">  - Urban elec. rate</t>
  </si>
  <si>
    <t xml:space="preserve">  - Rural elec. rate</t>
  </si>
  <si>
    <t>Target access rate in end year</t>
  </si>
  <si>
    <t>Total population (start year)</t>
  </si>
  <si>
    <t>Rural pop ratio (start year)</t>
  </si>
  <si>
    <t>Urban pop ratio (start year)</t>
  </si>
  <si>
    <t>Total population (end year)</t>
  </si>
  <si>
    <t>percentage</t>
  </si>
  <si>
    <t>Urban Household size</t>
  </si>
  <si>
    <t>Rural Household size</t>
  </si>
  <si>
    <t>Population data</t>
  </si>
  <si>
    <t>Technlogy specs &amp; costs</t>
  </si>
  <si>
    <t>Grid generating cost</t>
  </si>
  <si>
    <t>This is the expected generating cost of electricity (USD/kWh) for the centralized grid, as expected between start-end year</t>
  </si>
  <si>
    <t>The cost in USD/kW to for construction of grid-connected power plants (based on the expected mix between start-end year)</t>
  </si>
  <si>
    <t>Transmission losses</t>
  </si>
  <si>
    <t>The fraction of electricity lost in distribution over the MV/LV lines (e.g 0.08 for 8%)</t>
  </si>
  <si>
    <t>HV line type</t>
  </si>
  <si>
    <t>MV line type</t>
  </si>
  <si>
    <t>11 or 33</t>
  </si>
  <si>
    <t>Indicative MV line cost</t>
  </si>
  <si>
    <t>Indicative HV line cost</t>
  </si>
  <si>
    <t>Max MV line stretch</t>
  </si>
  <si>
    <t>LV line type</t>
  </si>
  <si>
    <t>T&amp;D Operation &amp; Maintenance cost</t>
  </si>
  <si>
    <t xml:space="preserve">As a percentage of CAPEX </t>
  </si>
  <si>
    <t>HV to MV transformer cost</t>
  </si>
  <si>
    <t>Service transformer type</t>
  </si>
  <si>
    <t>Max no of connections per service transformer</t>
  </si>
  <si>
    <t>connections</t>
  </si>
  <si>
    <t>Service drop / connection cost</t>
  </si>
  <si>
    <t>USD/con</t>
  </si>
  <si>
    <t>Mini grids</t>
  </si>
  <si>
    <t>Diesel generator cost</t>
  </si>
  <si>
    <t>Diesel generator life</t>
  </si>
  <si>
    <t>Diesel generator O&amp;M cost</t>
  </si>
  <si>
    <t>As percentage of CAPEX</t>
  </si>
  <si>
    <t>Diesel generator</t>
  </si>
  <si>
    <t>PV module cost</t>
  </si>
  <si>
    <t>USD/kW for solar PV panels</t>
  </si>
  <si>
    <t>PV panel life</t>
  </si>
  <si>
    <t>PV O&amp;M cost</t>
  </si>
  <si>
    <t>PV</t>
  </si>
  <si>
    <t>Wind</t>
  </si>
  <si>
    <t>Wind turbine cost</t>
  </si>
  <si>
    <t>Wind turbine life</t>
  </si>
  <si>
    <t>Wind turbine O&amp;M cost</t>
  </si>
  <si>
    <t>USD/kW for Wind turbine</t>
  </si>
  <si>
    <t>Expected technology life of Wind turbine (years)</t>
  </si>
  <si>
    <t>BoS (for mini grids)</t>
  </si>
  <si>
    <t>Hydro</t>
  </si>
  <si>
    <t>Small scale hydro (indicative) cost</t>
  </si>
  <si>
    <t>Small scale hydro life</t>
  </si>
  <si>
    <t>Small scale hydro O&amp;M cost</t>
  </si>
  <si>
    <t>Battery cost</t>
  </si>
  <si>
    <t>Inverter cost</t>
  </si>
  <si>
    <t>Inverter life</t>
  </si>
  <si>
    <t>Diesel pump price</t>
  </si>
  <si>
    <t>This is the diesel price in USD/liter as expected between start-end year (note that fuel cost changes based on location)</t>
  </si>
  <si>
    <t>Charge/Discharge efficiency of battery</t>
  </si>
  <si>
    <t>Battery inverter life</t>
  </si>
  <si>
    <t>Maximum depth of discharge of battery</t>
  </si>
  <si>
    <t>0.8 </t>
  </si>
  <si>
    <t>Charge controller</t>
  </si>
  <si>
    <t>USD/Unit</t>
  </si>
  <si>
    <t>Maximum loss of load</t>
  </si>
  <si>
    <t>Maximum loss of load allowed over the year (in share of kWh)</t>
  </si>
  <si>
    <t>Centalized Grid</t>
  </si>
  <si>
    <t>Solar Home Systems</t>
  </si>
  <si>
    <t>SHS costs classification</t>
  </si>
  <si>
    <t>SHS life</t>
  </si>
  <si>
    <t>SHS O&amp;M</t>
  </si>
  <si>
    <t>Other</t>
  </si>
  <si>
    <t>&gt; 1 kW</t>
  </si>
  <si>
    <t>&lt; 0.02 kW</t>
  </si>
  <si>
    <t>0.02-0.05 W</t>
  </si>
  <si>
    <t>0.05-0.1 W</t>
  </si>
  <si>
    <t>0.1-1 W</t>
  </si>
  <si>
    <t xml:space="preserve">Rate used to discount CAPEX </t>
  </si>
  <si>
    <t>Value</t>
  </si>
  <si>
    <t>base year</t>
  </si>
  <si>
    <t>IEA WEM Assumptions (from UN data)</t>
  </si>
  <si>
    <t>2020 price - IEA Energy Prices database</t>
  </si>
  <si>
    <t>Urban pop ratio (end year)</t>
  </si>
  <si>
    <t>Rural pop ratio (end year)</t>
  </si>
  <si>
    <t>Annual Cap on New Grid Connections</t>
  </si>
  <si>
    <t>connections/year</t>
  </si>
  <si>
    <t>MW/year</t>
  </si>
  <si>
    <t>Annual Cap on New Grid Capacity</t>
  </si>
  <si>
    <t xml:space="preserve">Limit of new connections the grid can accommodate per year </t>
  </si>
  <si>
    <t>Limit on new (additional) capacity that the central grid can accept per year</t>
  </si>
  <si>
    <t>Key Data Assumptions in GEP OnSSET v.2.0</t>
  </si>
  <si>
    <t>Share of population connected to the grid</t>
  </si>
  <si>
    <t>Share of population connected to mini-grid</t>
  </si>
  <si>
    <t>Share of population connected to SHS</t>
  </si>
  <si>
    <t>Expected CAPEX of new power plants</t>
  </si>
  <si>
    <t>MV to LV transformer cost</t>
  </si>
  <si>
    <t>USD/unit (50 kVA)</t>
  </si>
  <si>
    <t>Discount rate - Grid</t>
  </si>
  <si>
    <t>Max LV line stretch</t>
  </si>
  <si>
    <t>Discount rate - Mini-grid</t>
  </si>
  <si>
    <t>Discount rate - SHS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</si>
</sst>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* #,##0.00_);_(* \(#,##0.00\);_(* &quot;-&quot;??_);_(@_)"/>
    <numFmt numFmtId="165" formatCode="_(* #,##0.0_);_(* \(#,##0.0\);_(* &quot;-&quot;??_);_(@_)"/>
    <numFmt numFmtId="166" formatCode="_(* #,##0_);_(* \(#,##0\);_(* &quot;-&quot;??_);_(@_)"/>
    <numFmt numFmtId="167" formatCode="_(* #,##0.000_);_(* \(#,##0.000\);_(* &quot;-&quot;??_);_(@_)"/>
    <numFmt numFmtId="168" formatCode="0.0"/>
    <numFmt numFmtId="169" formatCode="0.000"/>
    <numFmt numFmtId="170" formatCode="0.0%"/>
    <numFmt numFmtId="171" formatCode="_-* #,##0.000_-;\-* #,##0.000_-;_-* &quot;-&quot;??_-;_-@_-"/>
    <numFmt numFmtId="172" formatCode="0.0000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i/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1"/>
      <color rgb="FF808080"/>
      <name val="Calibri"/>
      <family val="2"/>
      <scheme val="minor"/>
    </font>
    <font>
      <i/>
      <sz val="11"/>
      <color rgb="FF80808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5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5" fillId="0" borderId="0" applyNumberFormat="0" applyFill="0" applyBorder="0" applyAlignment="0" applyProtection="0"/>
  </cellStyleXfs>
  <cellXfs count="87">
    <xf numFmtId="0" fontId="0" fillId="0" borderId="0" xfId="0"/>
    <xf numFmtId="0" fontId="5" fillId="0" borderId="0" xfId="0" applyFont="1"/>
    <xf numFmtId="0" fontId="0" fillId="0" borderId="0" xfId="0" applyAlignment="1">
      <alignment horizontal="right"/>
    </xf>
    <xf numFmtId="166" fontId="1" fillId="0" borderId="0" xfId="1" applyNumberFormat="1" applyFont="1" applyAlignment="1">
      <alignment horizontal="left"/>
    </xf>
    <xf numFmtId="164" fontId="1" fillId="0" borderId="0" xfId="1" applyFont="1" applyAlignment="1">
      <alignment horizontal="left"/>
    </xf>
    <xf numFmtId="0" fontId="2" fillId="5" borderId="0" xfId="0" applyFont="1" applyFill="1" applyAlignment="1">
      <alignment horizontal="center" vertical="center"/>
    </xf>
    <xf numFmtId="164" fontId="2" fillId="5" borderId="0" xfId="1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164" fontId="2" fillId="5" borderId="0" xfId="1" applyFont="1" applyFill="1" applyAlignment="1">
      <alignment horizontal="center" vertical="center"/>
    </xf>
    <xf numFmtId="0" fontId="11" fillId="0" borderId="0" xfId="0" applyFont="1"/>
    <xf numFmtId="0" fontId="3" fillId="2" borderId="0" xfId="0" applyFont="1" applyFill="1" applyAlignment="1">
      <alignment horizontal="right"/>
    </xf>
    <xf numFmtId="0" fontId="0" fillId="2" borderId="0" xfId="0" applyFill="1"/>
    <xf numFmtId="0" fontId="5" fillId="2" borderId="0" xfId="0" applyFont="1" applyFill="1"/>
    <xf numFmtId="0" fontId="11" fillId="2" borderId="0" xfId="0" applyFont="1" applyFill="1"/>
    <xf numFmtId="0" fontId="8" fillId="2" borderId="0" xfId="0" applyFont="1" applyFill="1"/>
    <xf numFmtId="0" fontId="9" fillId="2" borderId="0" xfId="0" applyFont="1" applyFill="1" applyAlignment="1">
      <alignment vertical="center" wrapText="1"/>
    </xf>
    <xf numFmtId="0" fontId="4" fillId="5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right"/>
    </xf>
    <xf numFmtId="0" fontId="2" fillId="8" borderId="0" xfId="0" applyFont="1" applyFill="1"/>
    <xf numFmtId="2" fontId="2" fillId="8" borderId="0" xfId="0" applyNumberFormat="1" applyFont="1" applyFill="1"/>
    <xf numFmtId="0" fontId="7" fillId="8" borderId="0" xfId="0" applyFont="1" applyFill="1"/>
    <xf numFmtId="0" fontId="11" fillId="2" borderId="0" xfId="0" applyFont="1" applyFill="1" applyAlignment="1">
      <alignment horizontal="right"/>
    </xf>
    <xf numFmtId="0" fontId="12" fillId="2" borderId="0" xfId="0" applyFont="1" applyFill="1"/>
    <xf numFmtId="0" fontId="0" fillId="2" borderId="0" xfId="0" applyFill="1" applyAlignment="1">
      <alignment horizontal="right"/>
    </xf>
    <xf numFmtId="0" fontId="8" fillId="2" borderId="0" xfId="0" applyFont="1" applyFill="1" applyAlignment="1">
      <alignment horizontal="right"/>
    </xf>
    <xf numFmtId="0" fontId="15" fillId="2" borderId="0" xfId="0" applyFont="1" applyFill="1"/>
    <xf numFmtId="0" fontId="15" fillId="2" borderId="0" xfId="0" applyFont="1" applyFill="1" applyAlignment="1">
      <alignment horizontal="left" vertical="center"/>
    </xf>
    <xf numFmtId="0" fontId="16" fillId="2" borderId="0" xfId="0" applyFont="1" applyFill="1"/>
    <xf numFmtId="0" fontId="14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right"/>
    </xf>
    <xf numFmtId="2" fontId="18" fillId="8" borderId="0" xfId="1" applyNumberFormat="1" applyFont="1" applyFill="1" applyBorder="1" applyAlignment="1">
      <alignment horizontal="center" vertical="center"/>
    </xf>
    <xf numFmtId="2" fontId="18" fillId="4" borderId="0" xfId="1" applyNumberFormat="1" applyFont="1" applyFill="1" applyBorder="1" applyAlignment="1">
      <alignment horizontal="center" vertical="center"/>
    </xf>
    <xf numFmtId="170" fontId="18" fillId="4" borderId="0" xfId="2" applyNumberFormat="1" applyFont="1" applyFill="1" applyBorder="1" applyAlignment="1">
      <alignment horizontal="center" vertical="center"/>
    </xf>
    <xf numFmtId="166" fontId="19" fillId="7" borderId="0" xfId="1" applyNumberFormat="1" applyFont="1" applyFill="1" applyBorder="1" applyAlignment="1">
      <alignment horizontal="center" vertical="center"/>
    </xf>
    <xf numFmtId="164" fontId="19" fillId="7" borderId="0" xfId="1" applyFont="1" applyFill="1" applyBorder="1" applyAlignment="1">
      <alignment horizontal="center" vertical="center"/>
    </xf>
    <xf numFmtId="164" fontId="19" fillId="8" borderId="0" xfId="1" applyFont="1" applyFill="1" applyBorder="1" applyAlignment="1">
      <alignment horizontal="center" vertical="center"/>
    </xf>
    <xf numFmtId="166" fontId="19" fillId="4" borderId="0" xfId="1" applyNumberFormat="1" applyFont="1" applyFill="1" applyBorder="1" applyAlignment="1">
      <alignment horizontal="center" vertical="center"/>
    </xf>
    <xf numFmtId="167" fontId="19" fillId="4" borderId="0" xfId="1" applyNumberFormat="1" applyFont="1" applyFill="1" applyBorder="1" applyAlignment="1">
      <alignment horizontal="center" vertical="center"/>
    </xf>
    <xf numFmtId="165" fontId="19" fillId="4" borderId="0" xfId="1" applyNumberFormat="1" applyFont="1" applyFill="1" applyBorder="1" applyAlignment="1">
      <alignment horizontal="center" vertical="center"/>
    </xf>
    <xf numFmtId="164" fontId="19" fillId="4" borderId="0" xfId="1" applyFont="1" applyFill="1" applyBorder="1" applyAlignment="1">
      <alignment horizontal="center" vertical="center"/>
    </xf>
    <xf numFmtId="0" fontId="3" fillId="2" borderId="0" xfId="0" applyFont="1" applyFill="1"/>
    <xf numFmtId="2" fontId="13" fillId="4" borderId="0" xfId="1" applyNumberFormat="1" applyFont="1" applyFill="1" applyBorder="1" applyAlignment="1">
      <alignment horizontal="center" vertical="center"/>
    </xf>
    <xf numFmtId="166" fontId="20" fillId="4" borderId="0" xfId="1" applyNumberFormat="1" applyFont="1" applyFill="1" applyBorder="1" applyAlignment="1">
      <alignment horizontal="center" vertical="center"/>
    </xf>
    <xf numFmtId="169" fontId="20" fillId="7" borderId="0" xfId="1" applyNumberFormat="1" applyFont="1" applyFill="1" applyBorder="1" applyAlignment="1">
      <alignment horizontal="center" vertical="center"/>
    </xf>
    <xf numFmtId="168" fontId="20" fillId="7" borderId="0" xfId="1" applyNumberFormat="1" applyFont="1" applyFill="1" applyBorder="1" applyAlignment="1">
      <alignment horizontal="center" vertical="center"/>
    </xf>
    <xf numFmtId="169" fontId="20" fillId="4" borderId="0" xfId="1" applyNumberFormat="1" applyFont="1" applyFill="1" applyBorder="1" applyAlignment="1">
      <alignment horizontal="center" vertical="center"/>
    </xf>
    <xf numFmtId="2" fontId="20" fillId="4" borderId="0" xfId="1" applyNumberFormat="1" applyFont="1" applyFill="1" applyBorder="1" applyAlignment="1">
      <alignment horizontal="center" vertical="center"/>
    </xf>
    <xf numFmtId="0" fontId="21" fillId="6" borderId="0" xfId="1" applyNumberFormat="1" applyFont="1" applyFill="1" applyBorder="1" applyAlignment="1">
      <alignment horizontal="center" vertical="center"/>
    </xf>
    <xf numFmtId="170" fontId="21" fillId="6" borderId="0" xfId="1" applyNumberFormat="1" applyFont="1" applyFill="1" applyBorder="1" applyAlignment="1">
      <alignment horizontal="center" vertical="center"/>
    </xf>
    <xf numFmtId="164" fontId="21" fillId="8" borderId="0" xfId="1" applyFont="1" applyFill="1" applyBorder="1" applyAlignment="1">
      <alignment horizontal="center" vertical="center"/>
    </xf>
    <xf numFmtId="166" fontId="21" fillId="6" borderId="0" xfId="1" applyNumberFormat="1" applyFont="1" applyFill="1" applyBorder="1" applyAlignment="1">
      <alignment horizontal="center" vertical="center"/>
    </xf>
    <xf numFmtId="170" fontId="21" fillId="6" borderId="0" xfId="2" applyNumberFormat="1" applyFont="1" applyFill="1" applyBorder="1" applyAlignment="1">
      <alignment horizontal="center" vertical="center"/>
    </xf>
    <xf numFmtId="165" fontId="21" fillId="6" borderId="0" xfId="1" applyNumberFormat="1" applyFont="1" applyFill="1" applyBorder="1" applyAlignment="1">
      <alignment horizontal="center" vertical="center"/>
    </xf>
    <xf numFmtId="164" fontId="21" fillId="6" borderId="0" xfId="1" applyFont="1" applyFill="1" applyBorder="1" applyAlignment="1">
      <alignment horizontal="center" vertical="center"/>
    </xf>
    <xf numFmtId="166" fontId="22" fillId="6" borderId="0" xfId="1" applyNumberFormat="1" applyFont="1" applyFill="1" applyBorder="1" applyAlignment="1">
      <alignment horizontal="center" vertical="center"/>
    </xf>
    <xf numFmtId="164" fontId="22" fillId="6" borderId="0" xfId="1" applyFont="1" applyFill="1" applyBorder="1" applyAlignment="1">
      <alignment horizontal="center" vertical="center"/>
    </xf>
    <xf numFmtId="164" fontId="22" fillId="8" borderId="0" xfId="1" applyFont="1" applyFill="1" applyBorder="1" applyAlignment="1">
      <alignment horizontal="center" vertical="center"/>
    </xf>
    <xf numFmtId="167" fontId="22" fillId="6" borderId="0" xfId="1" applyNumberFormat="1" applyFont="1" applyFill="1" applyBorder="1" applyAlignment="1">
      <alignment horizontal="center" vertical="center"/>
    </xf>
    <xf numFmtId="165" fontId="22" fillId="6" borderId="0" xfId="1" applyNumberFormat="1" applyFont="1" applyFill="1" applyBorder="1" applyAlignment="1">
      <alignment horizontal="center" vertical="center"/>
    </xf>
    <xf numFmtId="1" fontId="19" fillId="7" borderId="0" xfId="1" applyNumberFormat="1" applyFont="1" applyFill="1" applyBorder="1" applyAlignment="1">
      <alignment horizontal="center" vertical="center"/>
    </xf>
    <xf numFmtId="169" fontId="19" fillId="7" borderId="0" xfId="1" applyNumberFormat="1" applyFont="1" applyFill="1" applyBorder="1" applyAlignment="1">
      <alignment horizontal="center" vertical="center"/>
    </xf>
    <xf numFmtId="1" fontId="19" fillId="4" borderId="0" xfId="1" applyNumberFormat="1" applyFont="1" applyFill="1" applyBorder="1" applyAlignment="1">
      <alignment horizontal="center" vertical="center"/>
    </xf>
    <xf numFmtId="0" fontId="19" fillId="4" borderId="0" xfId="1" applyNumberFormat="1" applyFont="1" applyFill="1" applyBorder="1" applyAlignment="1">
      <alignment horizontal="center" vertical="center"/>
    </xf>
    <xf numFmtId="2" fontId="19" fillId="4" borderId="0" xfId="1" applyNumberFormat="1" applyFont="1" applyFill="1" applyBorder="1" applyAlignment="1">
      <alignment horizontal="center" vertical="center"/>
    </xf>
    <xf numFmtId="169" fontId="19" fillId="4" borderId="0" xfId="1" applyNumberFormat="1" applyFont="1" applyFill="1" applyBorder="1" applyAlignment="1">
      <alignment horizontal="center" vertical="center"/>
    </xf>
    <xf numFmtId="170" fontId="19" fillId="4" borderId="0" xfId="2" applyNumberFormat="1" applyFont="1" applyFill="1" applyBorder="1" applyAlignment="1">
      <alignment horizontal="center" vertical="center"/>
    </xf>
    <xf numFmtId="168" fontId="19" fillId="4" borderId="0" xfId="1" applyNumberFormat="1" applyFont="1" applyFill="1" applyBorder="1" applyAlignment="1">
      <alignment horizontal="center" vertical="center"/>
    </xf>
    <xf numFmtId="170" fontId="23" fillId="4" borderId="0" xfId="2" applyNumberFormat="1" applyFont="1" applyFill="1" applyBorder="1" applyAlignment="1">
      <alignment horizontal="center" vertical="center"/>
    </xf>
    <xf numFmtId="166" fontId="23" fillId="4" borderId="0" xfId="1" applyNumberFormat="1" applyFont="1" applyFill="1" applyBorder="1" applyAlignment="1">
      <alignment horizontal="center" vertical="center"/>
    </xf>
    <xf numFmtId="2" fontId="23" fillId="4" borderId="0" xfId="1" applyNumberFormat="1" applyFont="1" applyFill="1" applyBorder="1" applyAlignment="1">
      <alignment horizontal="center" vertical="center"/>
    </xf>
    <xf numFmtId="1" fontId="23" fillId="4" borderId="0" xfId="1" applyNumberFormat="1" applyFont="1" applyFill="1" applyBorder="1" applyAlignment="1">
      <alignment horizontal="center" vertical="center"/>
    </xf>
    <xf numFmtId="2" fontId="1" fillId="4" borderId="0" xfId="1" applyNumberFormat="1" applyFont="1" applyFill="1" applyBorder="1" applyAlignment="1">
      <alignment horizontal="center" vertical="center"/>
    </xf>
    <xf numFmtId="166" fontId="3" fillId="0" borderId="0" xfId="1" applyNumberFormat="1" applyFont="1" applyAlignment="1">
      <alignment horizontal="center" vertical="center"/>
    </xf>
    <xf numFmtId="164" fontId="3" fillId="0" borderId="0" xfId="1" applyFont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170" fontId="24" fillId="7" borderId="0" xfId="2" applyNumberFormat="1" applyFont="1" applyFill="1" applyBorder="1" applyAlignment="1">
      <alignment horizontal="center" vertical="center"/>
    </xf>
    <xf numFmtId="1" fontId="5" fillId="2" borderId="0" xfId="0" applyNumberFormat="1" applyFont="1" applyFill="1" applyAlignment="1">
      <alignment horizontal="left"/>
    </xf>
    <xf numFmtId="171" fontId="12" fillId="2" borderId="0" xfId="0" applyNumberFormat="1" applyFont="1" applyFill="1"/>
    <xf numFmtId="0" fontId="25" fillId="2" borderId="0" xfId="3" applyFill="1" applyBorder="1"/>
    <xf numFmtId="170" fontId="24" fillId="7" borderId="0" xfId="1" applyNumberFormat="1" applyFont="1" applyFill="1" applyBorder="1" applyAlignment="1">
      <alignment horizontal="center" vertical="center"/>
    </xf>
    <xf numFmtId="0" fontId="1" fillId="4" borderId="0" xfId="2" applyNumberFormat="1" applyFont="1" applyFill="1" applyBorder="1" applyAlignment="1">
      <alignment horizontal="center" vertical="center"/>
    </xf>
    <xf numFmtId="172" fontId="20" fillId="7" borderId="0" xfId="1" applyNumberFormat="1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right" vertical="center"/>
    </xf>
    <xf numFmtId="0" fontId="2" fillId="8" borderId="1" xfId="0" applyFont="1" applyFill="1" applyBorder="1" applyAlignment="1">
      <alignment vertical="center"/>
    </xf>
    <xf numFmtId="0" fontId="10" fillId="3" borderId="0" xfId="0" applyFont="1" applyFill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center" vertical="center"/>
    </xf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160020</xdr:rowOff>
    </xdr:from>
    <xdr:to>
      <xdr:col>11</xdr:col>
      <xdr:colOff>601980</xdr:colOff>
      <xdr:row>16</xdr:row>
      <xdr:rowOff>129540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998DFF0-0B33-48D8-BFAD-7AF49682CEA0}"/>
            </a:ext>
          </a:extLst>
        </xdr:cNvPr>
        <xdr:cNvSpPr txBox="1"/>
      </xdr:nvSpPr>
      <xdr:spPr>
        <a:xfrm>
          <a:off x="609600" y="160020"/>
          <a:ext cx="6697980" cy="2895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050" b="1" u="sng">
              <a:latin typeface="Palatino Linotype" panose="02040502050505030304" pitchFamily="18" charset="0"/>
            </a:rPr>
            <a:t>OnSSET Non-GIS parameters collection &amp; customization</a:t>
          </a:r>
        </a:p>
        <a:p>
          <a:endParaRPr lang="en-GB" sz="900">
            <a:latin typeface="Palatino Linotype" panose="02040502050505030304" pitchFamily="18" charset="0"/>
          </a:endParaRPr>
        </a:p>
        <a:p>
          <a:r>
            <a:rPr lang="en-GB" sz="900">
              <a:latin typeface="Palatino Linotype" panose="02040502050505030304" pitchFamily="18" charset="0"/>
            </a:rPr>
            <a:t>This document has been put togerher in</a:t>
          </a:r>
          <a:r>
            <a:rPr lang="en-GB" sz="900" baseline="0">
              <a:latin typeface="Palatino Linotype" panose="02040502050505030304" pitchFamily="18" charset="0"/>
            </a:rPr>
            <a:t> order to help with the non-GIS input parameters that are needed for the OnSSET model. Ideally, each parameter presented in the sheet </a:t>
          </a:r>
          <a:r>
            <a:rPr lang="en-GB" sz="900" i="1" baseline="0">
              <a:latin typeface="Palatino Linotype" panose="02040502050505030304" pitchFamily="18" charset="0"/>
            </a:rPr>
            <a:t>"Country parameters"</a:t>
          </a:r>
          <a:r>
            <a:rPr lang="en-GB" sz="900" baseline="0">
              <a:latin typeface="Palatino Linotype" panose="02040502050505030304" pitchFamily="18" charset="0"/>
            </a:rPr>
            <a:t> would be customized per country or area of interest. However, some parameters are of higher priority as they have a significant impact on the results, while others can be generalized based on regional or literature values. Below we provide some instruction on how to approach data collection.</a:t>
          </a:r>
        </a:p>
        <a:p>
          <a:endParaRPr lang="en-GB" sz="900" baseline="0">
            <a:latin typeface="Palatino Linotype" panose="02040502050505030304" pitchFamily="18" charset="0"/>
          </a:endParaRPr>
        </a:p>
        <a:p>
          <a:r>
            <a:rPr lang="en-GB" sz="900" baseline="0">
              <a:latin typeface="Palatino Linotype" panose="02040502050505030304" pitchFamily="18" charset="0"/>
            </a:rPr>
            <a:t>-- </a:t>
          </a:r>
          <a:r>
            <a:rPr lang="en-GB" sz="900" b="1" baseline="0">
              <a:latin typeface="Palatino Linotype" panose="02040502050505030304" pitchFamily="18" charset="0"/>
            </a:rPr>
            <a:t>Highlighted parameters</a:t>
          </a:r>
          <a:r>
            <a:rPr lang="en-GB" sz="900" baseline="0">
              <a:latin typeface="Palatino Linotype" panose="02040502050505030304" pitchFamily="18" charset="0"/>
            </a:rPr>
            <a:t>: Parameters (Column "C") that are highlighted in </a:t>
          </a:r>
          <a:r>
            <a:rPr lang="en-GB" sz="900" b="1" baseline="0">
              <a:latin typeface="Palatino Linotype" panose="02040502050505030304" pitchFamily="18" charset="0"/>
            </a:rPr>
            <a:t>Bold </a:t>
          </a:r>
          <a:r>
            <a:rPr lang="en-GB" sz="900" b="0" baseline="0">
              <a:latin typeface="Palatino Linotype" panose="02040502050505030304" pitchFamily="18" charset="0"/>
            </a:rPr>
            <a:t>are critical for the analysis and need to be provided. Parameters that are not highlighted, may keep their default parameter (Column "F").</a:t>
          </a:r>
        </a:p>
        <a:p>
          <a:endParaRPr lang="en-GB" sz="900" b="0" baseline="0">
            <a:latin typeface="Palatino Linotype" panose="02040502050505030304" pitchFamily="18" charset="0"/>
          </a:endParaRPr>
        </a:p>
        <a:p>
          <a:r>
            <a:rPr lang="en-GB" sz="900" b="1" baseline="0">
              <a:latin typeface="Palatino Linotype" panose="02040502050505030304" pitchFamily="18" charset="0"/>
            </a:rPr>
            <a:t>-- Color coding</a:t>
          </a:r>
          <a:r>
            <a:rPr lang="en-GB" sz="900" b="0" baseline="0">
              <a:latin typeface="Palatino Linotype" panose="02040502050505030304" pitchFamily="18" charset="0"/>
            </a:rPr>
            <a:t>: Values (Column "D") in </a:t>
          </a:r>
          <a:r>
            <a:rPr lang="en-GB" sz="900" b="1" baseline="0">
              <a:solidFill>
                <a:srgbClr val="C00000"/>
              </a:solidFill>
              <a:latin typeface="Palatino Linotype" panose="02040502050505030304" pitchFamily="18" charset="0"/>
            </a:rPr>
            <a:t>dark red </a:t>
          </a:r>
          <a:r>
            <a:rPr lang="en-GB" sz="900" b="0" baseline="0">
              <a:solidFill>
                <a:schemeClr val="tx1"/>
              </a:solidFill>
              <a:latin typeface="Palatino Linotype" panose="02040502050505030304" pitchFamily="18" charset="0"/>
            </a:rPr>
            <a:t>need to be customized for each country. Values in </a:t>
          </a:r>
          <a:r>
            <a:rPr lang="en-GB" sz="900" b="1" baseline="0">
              <a:solidFill>
                <a:schemeClr val="accent2">
                  <a:lumMod val="75000"/>
                </a:schemeClr>
              </a:solidFill>
              <a:latin typeface="Palatino Linotype" panose="02040502050505030304" pitchFamily="18" charset="0"/>
            </a:rPr>
            <a:t>orange</a:t>
          </a:r>
          <a:r>
            <a:rPr lang="en-GB" sz="900" b="0" baseline="0">
              <a:solidFill>
                <a:schemeClr val="tx1"/>
              </a:solidFill>
              <a:latin typeface="Palatino Linotype" panose="02040502050505030304" pitchFamily="18" charset="0"/>
            </a:rPr>
            <a:t>, although important, can be informed by regional values (or similar e.g., per power pool). Values in black may keep their default assumption (Column "F").</a:t>
          </a:r>
        </a:p>
        <a:p>
          <a:endParaRPr lang="en-GB" sz="900" b="0" baseline="0">
            <a:solidFill>
              <a:schemeClr val="tx1"/>
            </a:solidFill>
            <a:latin typeface="Palatino Linotype" panose="02040502050505030304" pitchFamily="18" charset="0"/>
          </a:endParaRPr>
        </a:p>
        <a:p>
          <a:r>
            <a:rPr lang="en-GB" sz="900" b="0" baseline="0">
              <a:solidFill>
                <a:schemeClr val="tx1"/>
              </a:solidFill>
              <a:latin typeface="Palatino Linotype" panose="02040502050505030304" pitchFamily="18" charset="0"/>
            </a:rPr>
            <a:t>For any questions of further clarification on the definition of parameters please do not hesitate to contact the modelling team. Thank you!</a:t>
          </a:r>
          <a:endParaRPr lang="en-GB" sz="900" b="0">
            <a:solidFill>
              <a:schemeClr val="tx1"/>
            </a:solidFill>
            <a:latin typeface="Palatino Linotype" panose="0204050205050503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ansd.sn/ressources/demostaf/RAPPORT%20-%20Statistiques%20des%20Menages%20au%20Senegal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E20" sqref="E20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2"/>
  <sheetViews>
    <sheetView tabSelected="1" topLeftCell="A69" zoomScaleNormal="100" workbookViewId="0">
      <selection activeCell="C91" sqref="C91"/>
    </sheetView>
  </sheetViews>
  <sheetFormatPr defaultRowHeight="15" x14ac:dyDescent="0.25"/>
  <cols>
    <col min="1" max="1" width="3.85546875" style="2" customWidth="1"/>
    <col min="2" max="2" width="23.85546875" bestFit="1" customWidth="1"/>
    <col min="3" max="3" width="43.140625" bestFit="1" customWidth="1"/>
    <col min="4" max="4" width="15.85546875" customWidth="1"/>
    <col min="5" max="5" width="16.5703125" bestFit="1" customWidth="1"/>
    <col min="6" max="6" width="16.42578125" style="73" customWidth="1"/>
    <col min="7" max="7" width="21.42578125" style="4" customWidth="1"/>
    <col min="8" max="8" width="110" style="1" bestFit="1" customWidth="1"/>
    <col min="9" max="9" width="84.42578125" bestFit="1" customWidth="1"/>
  </cols>
  <sheetData>
    <row r="1" spans="1:9" ht="48.6" customHeight="1" x14ac:dyDescent="0.25">
      <c r="A1" s="84" t="s">
        <v>144</v>
      </c>
      <c r="B1" s="84"/>
      <c r="C1" s="84"/>
      <c r="D1" s="84"/>
      <c r="E1" s="84"/>
      <c r="F1" s="84"/>
      <c r="G1" s="84"/>
      <c r="H1" s="84"/>
      <c r="I1" s="84"/>
    </row>
    <row r="2" spans="1:9" ht="33" customHeight="1" x14ac:dyDescent="0.25">
      <c r="A2" s="16" t="s">
        <v>0</v>
      </c>
      <c r="B2" s="5" t="s">
        <v>1</v>
      </c>
      <c r="C2" s="5" t="s">
        <v>2</v>
      </c>
      <c r="D2" s="6" t="s">
        <v>132</v>
      </c>
      <c r="E2" s="8" t="s">
        <v>3</v>
      </c>
      <c r="F2" s="6" t="s">
        <v>4</v>
      </c>
      <c r="G2" s="8" t="s">
        <v>3</v>
      </c>
      <c r="H2" s="7" t="s">
        <v>5</v>
      </c>
      <c r="I2" s="7" t="s">
        <v>6</v>
      </c>
    </row>
    <row r="3" spans="1:9" ht="27" customHeight="1" x14ac:dyDescent="0.25">
      <c r="A3" s="82">
        <v>1</v>
      </c>
      <c r="B3" s="83" t="s">
        <v>7</v>
      </c>
      <c r="C3" s="85" t="s">
        <v>48</v>
      </c>
      <c r="D3" s="85"/>
      <c r="E3" s="85"/>
      <c r="F3" s="85"/>
      <c r="G3" s="85"/>
      <c r="H3" s="85"/>
      <c r="I3" s="86"/>
    </row>
    <row r="4" spans="1:9" x14ac:dyDescent="0.25">
      <c r="A4" s="17">
        <v>2</v>
      </c>
      <c r="B4" s="18" t="s">
        <v>49</v>
      </c>
      <c r="C4" s="18"/>
      <c r="D4" s="19"/>
      <c r="E4" s="18"/>
      <c r="F4" s="74"/>
      <c r="G4" s="18"/>
      <c r="H4" s="18"/>
      <c r="I4" s="18"/>
    </row>
    <row r="5" spans="1:9" x14ac:dyDescent="0.25">
      <c r="A5" s="10"/>
      <c r="B5" s="11"/>
      <c r="C5" s="11" t="s">
        <v>50</v>
      </c>
      <c r="D5" s="59">
        <v>2020</v>
      </c>
      <c r="E5" s="33" t="s">
        <v>8</v>
      </c>
      <c r="F5" s="47">
        <v>2020</v>
      </c>
      <c r="G5" s="54" t="s">
        <v>8</v>
      </c>
      <c r="H5" s="12" t="s">
        <v>9</v>
      </c>
      <c r="I5" s="12"/>
    </row>
    <row r="6" spans="1:9" x14ac:dyDescent="0.25">
      <c r="A6" s="10"/>
      <c r="B6" s="11"/>
      <c r="C6" s="11" t="s">
        <v>51</v>
      </c>
      <c r="D6" s="59">
        <v>2030</v>
      </c>
      <c r="E6" s="33" t="s">
        <v>8</v>
      </c>
      <c r="F6" s="47">
        <v>2030</v>
      </c>
      <c r="G6" s="54" t="s">
        <v>8</v>
      </c>
      <c r="H6" s="12" t="s">
        <v>10</v>
      </c>
      <c r="I6" s="12"/>
    </row>
    <row r="7" spans="1:9" x14ac:dyDescent="0.25">
      <c r="A7" s="10"/>
      <c r="B7" s="11"/>
      <c r="C7" s="40" t="s">
        <v>52</v>
      </c>
      <c r="D7" s="75">
        <v>0.70399999999999996</v>
      </c>
      <c r="E7" s="37" t="s">
        <v>60</v>
      </c>
      <c r="F7" s="47"/>
      <c r="G7" s="54"/>
      <c r="H7" s="76" t="s">
        <v>133</v>
      </c>
      <c r="I7" s="12"/>
    </row>
    <row r="8" spans="1:9" x14ac:dyDescent="0.25">
      <c r="A8" s="10"/>
      <c r="B8" s="11"/>
      <c r="C8" s="40" t="s">
        <v>53</v>
      </c>
      <c r="D8" s="75">
        <v>0.95199999999999996</v>
      </c>
      <c r="E8" s="37" t="s">
        <v>60</v>
      </c>
      <c r="F8" s="47"/>
      <c r="G8" s="54"/>
      <c r="H8" s="76" t="s">
        <v>133</v>
      </c>
      <c r="I8" s="12"/>
    </row>
    <row r="9" spans="1:9" x14ac:dyDescent="0.25">
      <c r="A9" s="10"/>
      <c r="B9" s="11"/>
      <c r="C9" s="40" t="s">
        <v>54</v>
      </c>
      <c r="D9" s="75">
        <v>0.47395535679864292</v>
      </c>
      <c r="E9" s="37" t="s">
        <v>60</v>
      </c>
      <c r="F9" s="47"/>
      <c r="G9" s="54"/>
      <c r="H9" s="76" t="s">
        <v>133</v>
      </c>
      <c r="I9" s="12"/>
    </row>
    <row r="10" spans="1:9" x14ac:dyDescent="0.25">
      <c r="A10" s="10"/>
      <c r="B10" s="11"/>
      <c r="C10" s="40" t="s">
        <v>145</v>
      </c>
      <c r="D10" s="75">
        <v>0.504</v>
      </c>
      <c r="E10" s="37" t="s">
        <v>60</v>
      </c>
      <c r="F10" s="47"/>
      <c r="G10" s="54"/>
      <c r="H10" s="76"/>
      <c r="I10" s="12"/>
    </row>
    <row r="11" spans="1:9" x14ac:dyDescent="0.25">
      <c r="A11" s="10"/>
      <c r="B11" s="11"/>
      <c r="C11" s="40" t="s">
        <v>146</v>
      </c>
      <c r="D11" s="75">
        <v>0.02</v>
      </c>
      <c r="E11" s="37" t="s">
        <v>60</v>
      </c>
      <c r="F11" s="47"/>
      <c r="G11" s="54"/>
      <c r="H11" s="76"/>
      <c r="I11" s="12"/>
    </row>
    <row r="12" spans="1:9" x14ac:dyDescent="0.25">
      <c r="A12" s="10"/>
      <c r="B12" s="11"/>
      <c r="C12" s="40" t="s">
        <v>147</v>
      </c>
      <c r="D12" s="75">
        <v>0.18</v>
      </c>
      <c r="E12" s="37" t="s">
        <v>60</v>
      </c>
      <c r="F12" s="47"/>
      <c r="G12" s="54"/>
      <c r="H12" s="76"/>
      <c r="I12" s="12"/>
    </row>
    <row r="13" spans="1:9" x14ac:dyDescent="0.25">
      <c r="A13" s="10"/>
      <c r="B13" s="11"/>
      <c r="C13" s="11" t="s">
        <v>55</v>
      </c>
      <c r="D13" s="79">
        <v>1</v>
      </c>
      <c r="E13" s="34" t="s">
        <v>11</v>
      </c>
      <c r="F13" s="48">
        <v>1</v>
      </c>
      <c r="G13" s="55" t="s">
        <v>11</v>
      </c>
      <c r="H13" s="12" t="s">
        <v>12</v>
      </c>
      <c r="I13" s="12"/>
    </row>
    <row r="14" spans="1:9" x14ac:dyDescent="0.25">
      <c r="A14" s="17">
        <v>3</v>
      </c>
      <c r="B14" s="18" t="s">
        <v>63</v>
      </c>
      <c r="C14" s="18"/>
      <c r="D14" s="30"/>
      <c r="E14" s="35"/>
      <c r="F14" s="49"/>
      <c r="G14" s="56"/>
      <c r="H14" s="20"/>
      <c r="I14" s="20"/>
    </row>
    <row r="15" spans="1:9" x14ac:dyDescent="0.25">
      <c r="A15" s="23"/>
      <c r="B15" s="11"/>
      <c r="C15" s="40" t="s">
        <v>56</v>
      </c>
      <c r="D15" s="42">
        <v>16743567</v>
      </c>
      <c r="E15" s="36"/>
      <c r="F15" s="50"/>
      <c r="G15" s="54"/>
      <c r="H15" s="12" t="s">
        <v>13</v>
      </c>
      <c r="I15" s="22" t="s">
        <v>134</v>
      </c>
    </row>
    <row r="16" spans="1:9" s="9" customFormat="1" ht="13.5" customHeight="1" x14ac:dyDescent="0.25">
      <c r="A16" s="21"/>
      <c r="B16" s="11"/>
      <c r="C16" s="40" t="s">
        <v>58</v>
      </c>
      <c r="D16" s="43">
        <v>0.48</v>
      </c>
      <c r="E16" s="36"/>
      <c r="F16" s="50"/>
      <c r="G16" s="54"/>
      <c r="H16" s="22"/>
      <c r="I16" s="22" t="s">
        <v>134</v>
      </c>
    </row>
    <row r="17" spans="1:9" s="9" customFormat="1" ht="13.5" customHeight="1" x14ac:dyDescent="0.25">
      <c r="A17" s="21"/>
      <c r="B17" s="13"/>
      <c r="C17" s="11" t="s">
        <v>57</v>
      </c>
      <c r="D17" s="60">
        <f>1-D16</f>
        <v>0.52</v>
      </c>
      <c r="E17" s="36"/>
      <c r="F17" s="50"/>
      <c r="G17" s="54"/>
      <c r="H17" s="77"/>
      <c r="I17" s="22"/>
    </row>
    <row r="18" spans="1:9" x14ac:dyDescent="0.25">
      <c r="A18" s="24"/>
      <c r="B18" s="14"/>
      <c r="C18" s="11" t="s">
        <v>59</v>
      </c>
      <c r="D18" s="42">
        <v>22013455</v>
      </c>
      <c r="E18" s="37"/>
      <c r="F18" s="50"/>
      <c r="G18" s="57"/>
      <c r="H18" s="12"/>
      <c r="I18" s="22"/>
    </row>
    <row r="19" spans="1:9" x14ac:dyDescent="0.25">
      <c r="A19" s="24"/>
      <c r="B19" s="14"/>
      <c r="C19" s="40" t="s">
        <v>136</v>
      </c>
      <c r="D19" s="81">
        <v>0.53</v>
      </c>
      <c r="E19" s="37"/>
      <c r="F19" s="50"/>
      <c r="G19" s="57"/>
      <c r="H19" s="12"/>
      <c r="I19" s="22"/>
    </row>
    <row r="20" spans="1:9" x14ac:dyDescent="0.25">
      <c r="A20" s="24"/>
      <c r="B20" s="14"/>
      <c r="C20" s="11" t="s">
        <v>137</v>
      </c>
      <c r="D20" s="80">
        <f>1-D19</f>
        <v>0.47</v>
      </c>
      <c r="E20" s="37"/>
      <c r="F20" s="50"/>
      <c r="G20" s="57"/>
      <c r="H20" s="12"/>
      <c r="I20" s="22"/>
    </row>
    <row r="21" spans="1:9" x14ac:dyDescent="0.25">
      <c r="A21" s="24"/>
      <c r="B21" s="11"/>
      <c r="C21" s="40" t="s">
        <v>61</v>
      </c>
      <c r="D21" s="44">
        <v>5</v>
      </c>
      <c r="E21" s="38" t="s">
        <v>14</v>
      </c>
      <c r="F21" s="52">
        <v>5</v>
      </c>
      <c r="G21" s="58" t="s">
        <v>14</v>
      </c>
      <c r="H21" s="12" t="s">
        <v>15</v>
      </c>
      <c r="I21" s="78"/>
    </row>
    <row r="22" spans="1:9" x14ac:dyDescent="0.25">
      <c r="A22" s="24"/>
      <c r="B22" s="11"/>
      <c r="C22" s="40" t="s">
        <v>62</v>
      </c>
      <c r="D22" s="44">
        <v>5</v>
      </c>
      <c r="E22" s="38" t="s">
        <v>14</v>
      </c>
      <c r="F22" s="52">
        <v>5</v>
      </c>
      <c r="G22" s="58" t="s">
        <v>14</v>
      </c>
      <c r="H22" s="12" t="s">
        <v>16</v>
      </c>
      <c r="I22" s="78"/>
    </row>
    <row r="23" spans="1:9" x14ac:dyDescent="0.25">
      <c r="A23" s="17">
        <v>4</v>
      </c>
      <c r="B23" s="18" t="s">
        <v>64</v>
      </c>
      <c r="C23" s="18"/>
      <c r="D23" s="30"/>
      <c r="E23" s="35"/>
      <c r="F23" s="49"/>
      <c r="G23" s="56"/>
      <c r="H23" s="20"/>
      <c r="I23" s="20"/>
    </row>
    <row r="24" spans="1:9" x14ac:dyDescent="0.25">
      <c r="A24" s="28">
        <v>4.0999999999999996</v>
      </c>
      <c r="B24" s="26" t="s">
        <v>120</v>
      </c>
      <c r="C24" s="40" t="s">
        <v>65</v>
      </c>
      <c r="D24" s="45">
        <v>7.0999999999999994E-2</v>
      </c>
      <c r="E24" s="39" t="s">
        <v>17</v>
      </c>
      <c r="F24" s="53">
        <v>0.1</v>
      </c>
      <c r="G24" s="55" t="s">
        <v>17</v>
      </c>
      <c r="H24" s="12" t="s">
        <v>66</v>
      </c>
      <c r="I24" s="22"/>
    </row>
    <row r="25" spans="1:9" x14ac:dyDescent="0.25">
      <c r="A25" s="24"/>
      <c r="B25" s="14"/>
      <c r="C25" s="40" t="s">
        <v>148</v>
      </c>
      <c r="D25" s="46">
        <v>1303</v>
      </c>
      <c r="E25" s="36" t="s">
        <v>18</v>
      </c>
      <c r="F25" s="50">
        <v>2000</v>
      </c>
      <c r="G25" s="54" t="s">
        <v>18</v>
      </c>
      <c r="H25" s="12" t="s">
        <v>67</v>
      </c>
      <c r="I25" s="22"/>
    </row>
    <row r="26" spans="1:9" x14ac:dyDescent="0.25">
      <c r="A26" s="24"/>
      <c r="B26" s="14"/>
      <c r="C26" s="11" t="s">
        <v>141</v>
      </c>
      <c r="D26" s="66">
        <v>140</v>
      </c>
      <c r="E26" s="36" t="s">
        <v>140</v>
      </c>
      <c r="F26" s="50"/>
      <c r="G26" s="54"/>
      <c r="H26" s="12" t="s">
        <v>143</v>
      </c>
      <c r="I26" s="22"/>
    </row>
    <row r="27" spans="1:9" x14ac:dyDescent="0.25">
      <c r="A27" s="24"/>
      <c r="B27" s="14"/>
      <c r="C27" s="11" t="s">
        <v>138</v>
      </c>
      <c r="D27" s="36">
        <v>52000</v>
      </c>
      <c r="E27" s="36" t="s">
        <v>139</v>
      </c>
      <c r="F27" s="50"/>
      <c r="G27" s="54"/>
      <c r="H27" s="12" t="s">
        <v>142</v>
      </c>
      <c r="I27" s="22"/>
    </row>
    <row r="28" spans="1:9" x14ac:dyDescent="0.25">
      <c r="A28" s="28"/>
      <c r="B28" s="26"/>
      <c r="C28" s="11" t="s">
        <v>68</v>
      </c>
      <c r="D28" s="67">
        <v>0.13800000000000001</v>
      </c>
      <c r="E28" s="36" t="s">
        <v>60</v>
      </c>
      <c r="F28" s="51">
        <v>0.08</v>
      </c>
      <c r="G28" s="54" t="s">
        <v>60</v>
      </c>
      <c r="H28" s="12" t="s">
        <v>19</v>
      </c>
      <c r="I28" s="22"/>
    </row>
    <row r="29" spans="1:9" x14ac:dyDescent="0.25">
      <c r="A29" s="24"/>
      <c r="B29" s="15"/>
      <c r="C29" s="11" t="s">
        <v>41</v>
      </c>
      <c r="D29" s="67">
        <v>0.13800000000000001</v>
      </c>
      <c r="E29" s="39" t="s">
        <v>60</v>
      </c>
      <c r="F29" s="51">
        <v>0.08</v>
      </c>
      <c r="G29" s="55" t="s">
        <v>60</v>
      </c>
      <c r="H29" s="12" t="s">
        <v>69</v>
      </c>
      <c r="I29" s="22"/>
    </row>
    <row r="30" spans="1:9" x14ac:dyDescent="0.25">
      <c r="A30" s="24"/>
      <c r="B30" s="15"/>
      <c r="C30" s="11" t="s">
        <v>77</v>
      </c>
      <c r="D30" s="67">
        <v>0.03</v>
      </c>
      <c r="E30" s="39"/>
      <c r="F30" s="51">
        <v>0.03</v>
      </c>
      <c r="G30" s="55" t="s">
        <v>60</v>
      </c>
      <c r="H30" s="12" t="s">
        <v>78</v>
      </c>
      <c r="I30" s="22"/>
    </row>
    <row r="31" spans="1:9" x14ac:dyDescent="0.25">
      <c r="A31" s="24"/>
      <c r="B31" s="15"/>
      <c r="C31" s="11" t="s">
        <v>70</v>
      </c>
      <c r="D31" s="61">
        <v>66</v>
      </c>
      <c r="E31" s="36" t="s">
        <v>37</v>
      </c>
      <c r="F31" s="50">
        <v>66</v>
      </c>
      <c r="G31" s="54" t="s">
        <v>37</v>
      </c>
      <c r="H31" s="12"/>
      <c r="I31" s="22"/>
    </row>
    <row r="32" spans="1:9" x14ac:dyDescent="0.25">
      <c r="A32" s="24"/>
      <c r="B32" s="15"/>
      <c r="C32" s="40" t="s">
        <v>74</v>
      </c>
      <c r="D32" s="68">
        <v>53000</v>
      </c>
      <c r="E32" s="36" t="s">
        <v>38</v>
      </c>
      <c r="F32" s="50">
        <v>53000</v>
      </c>
      <c r="G32" s="54" t="s">
        <v>38</v>
      </c>
      <c r="H32" s="12"/>
      <c r="I32" s="22"/>
    </row>
    <row r="33" spans="1:9" x14ac:dyDescent="0.25">
      <c r="A33" s="24"/>
      <c r="B33" s="15"/>
      <c r="C33" s="11" t="s">
        <v>71</v>
      </c>
      <c r="D33" s="62" t="s">
        <v>72</v>
      </c>
      <c r="E33" s="36" t="s">
        <v>37</v>
      </c>
      <c r="F33" s="50" t="s">
        <v>72</v>
      </c>
      <c r="G33" s="54" t="s">
        <v>37</v>
      </c>
      <c r="H33" s="12"/>
      <c r="I33" s="22"/>
    </row>
    <row r="34" spans="1:9" x14ac:dyDescent="0.25">
      <c r="A34" s="24"/>
      <c r="B34" s="15"/>
      <c r="C34" s="40" t="s">
        <v>73</v>
      </c>
      <c r="D34" s="68">
        <v>22000</v>
      </c>
      <c r="E34" s="36" t="s">
        <v>38</v>
      </c>
      <c r="F34" s="50">
        <v>15000</v>
      </c>
      <c r="G34" s="54" t="s">
        <v>38</v>
      </c>
      <c r="H34" s="12"/>
      <c r="I34" s="22"/>
    </row>
    <row r="35" spans="1:9" ht="12" customHeight="1" x14ac:dyDescent="0.25">
      <c r="A35" s="24"/>
      <c r="B35" s="15"/>
      <c r="C35" s="11" t="s">
        <v>75</v>
      </c>
      <c r="D35" s="63">
        <v>50</v>
      </c>
      <c r="E35" s="36" t="s">
        <v>39</v>
      </c>
      <c r="F35" s="50">
        <v>50</v>
      </c>
      <c r="G35" s="54" t="s">
        <v>39</v>
      </c>
      <c r="H35" s="12"/>
      <c r="I35" s="22"/>
    </row>
    <row r="36" spans="1:9" x14ac:dyDescent="0.25">
      <c r="A36" s="24"/>
      <c r="B36" s="15"/>
      <c r="C36" s="11" t="s">
        <v>76</v>
      </c>
      <c r="D36" s="63">
        <v>0.24</v>
      </c>
      <c r="E36" s="39" t="s">
        <v>37</v>
      </c>
      <c r="F36" s="53">
        <v>0.24</v>
      </c>
      <c r="G36" s="55" t="s">
        <v>37</v>
      </c>
      <c r="H36" s="12"/>
      <c r="I36" s="22"/>
    </row>
    <row r="37" spans="1:9" x14ac:dyDescent="0.25">
      <c r="A37" s="24"/>
      <c r="B37" s="15"/>
      <c r="C37" s="40" t="s">
        <v>40</v>
      </c>
      <c r="D37" s="68">
        <v>12000</v>
      </c>
      <c r="E37" s="36" t="s">
        <v>38</v>
      </c>
      <c r="F37" s="50">
        <v>10000</v>
      </c>
      <c r="G37" s="54" t="s">
        <v>38</v>
      </c>
      <c r="H37" s="12"/>
      <c r="I37" s="22"/>
    </row>
    <row r="38" spans="1:9" x14ac:dyDescent="0.25">
      <c r="A38" s="24"/>
      <c r="B38" s="15"/>
      <c r="C38" s="11" t="s">
        <v>152</v>
      </c>
      <c r="D38" s="63">
        <v>0.8</v>
      </c>
      <c r="E38" s="39" t="s">
        <v>39</v>
      </c>
      <c r="F38" s="53">
        <v>0.8</v>
      </c>
      <c r="G38" s="55" t="s">
        <v>39</v>
      </c>
      <c r="H38" s="12"/>
      <c r="I38" s="22"/>
    </row>
    <row r="39" spans="1:9" x14ac:dyDescent="0.25">
      <c r="A39" s="24"/>
      <c r="B39" s="15"/>
      <c r="C39" s="40" t="s">
        <v>79</v>
      </c>
      <c r="D39" s="68">
        <v>25000</v>
      </c>
      <c r="E39" s="36" t="s">
        <v>42</v>
      </c>
      <c r="F39" s="50">
        <v>25000</v>
      </c>
      <c r="G39" s="54" t="s">
        <v>42</v>
      </c>
      <c r="H39" s="12" t="s">
        <v>43</v>
      </c>
      <c r="I39" s="22"/>
    </row>
    <row r="40" spans="1:9" x14ac:dyDescent="0.25">
      <c r="A40" s="24"/>
      <c r="B40" s="15"/>
      <c r="C40" s="40" t="s">
        <v>149</v>
      </c>
      <c r="D40" s="68">
        <v>10000</v>
      </c>
      <c r="E40" s="36" t="s">
        <v>42</v>
      </c>
      <c r="F40" s="50">
        <v>10000</v>
      </c>
      <c r="G40" s="54" t="s">
        <v>42</v>
      </c>
      <c r="H40" s="12" t="s">
        <v>150</v>
      </c>
      <c r="I40" s="22"/>
    </row>
    <row r="41" spans="1:9" x14ac:dyDescent="0.25">
      <c r="A41" s="24"/>
      <c r="B41" s="15"/>
      <c r="C41" s="11" t="s">
        <v>80</v>
      </c>
      <c r="D41" s="63">
        <v>50</v>
      </c>
      <c r="E41" s="36" t="s">
        <v>44</v>
      </c>
      <c r="F41" s="50">
        <v>50</v>
      </c>
      <c r="G41" s="54" t="s">
        <v>44</v>
      </c>
      <c r="H41" s="12" t="s">
        <v>44</v>
      </c>
      <c r="I41" s="22"/>
    </row>
    <row r="42" spans="1:9" x14ac:dyDescent="0.25">
      <c r="A42" s="24"/>
      <c r="B42" s="15"/>
      <c r="C42" s="11" t="s">
        <v>81</v>
      </c>
      <c r="D42" s="61">
        <v>300</v>
      </c>
      <c r="E42" s="36" t="s">
        <v>82</v>
      </c>
      <c r="F42" s="50">
        <v>300</v>
      </c>
      <c r="G42" s="54" t="s">
        <v>45</v>
      </c>
      <c r="H42" s="12" t="s">
        <v>46</v>
      </c>
      <c r="I42" s="22"/>
    </row>
    <row r="43" spans="1:9" x14ac:dyDescent="0.25">
      <c r="A43" s="24"/>
      <c r="B43" s="15"/>
      <c r="C43" s="11" t="s">
        <v>83</v>
      </c>
      <c r="D43" s="69">
        <v>100</v>
      </c>
      <c r="E43" s="39" t="s">
        <v>84</v>
      </c>
      <c r="F43" s="50">
        <v>100</v>
      </c>
      <c r="G43" s="55" t="s">
        <v>84</v>
      </c>
      <c r="H43" s="12" t="s">
        <v>47</v>
      </c>
      <c r="I43" s="22"/>
    </row>
    <row r="44" spans="1:9" x14ac:dyDescent="0.25">
      <c r="A44" s="28">
        <v>4.2</v>
      </c>
      <c r="B44" s="25" t="s">
        <v>85</v>
      </c>
      <c r="C44" s="11"/>
      <c r="D44" s="32"/>
      <c r="E44" s="39"/>
      <c r="F44" s="51"/>
      <c r="G44" s="55"/>
      <c r="H44" s="12"/>
      <c r="I44" s="22"/>
    </row>
    <row r="45" spans="1:9" x14ac:dyDescent="0.25">
      <c r="A45" s="28"/>
      <c r="B45" s="27" t="s">
        <v>90</v>
      </c>
      <c r="C45" s="40" t="s">
        <v>110</v>
      </c>
      <c r="D45" s="46">
        <v>1.1399999999999999</v>
      </c>
      <c r="E45" s="38" t="s">
        <v>20</v>
      </c>
      <c r="F45" s="52">
        <v>0.68</v>
      </c>
      <c r="G45" s="58" t="s">
        <v>20</v>
      </c>
      <c r="H45" s="12" t="s">
        <v>111</v>
      </c>
      <c r="I45" s="22" t="s">
        <v>135</v>
      </c>
    </row>
    <row r="46" spans="1:9" x14ac:dyDescent="0.25">
      <c r="A46" s="28"/>
      <c r="B46" s="25"/>
      <c r="C46" s="40" t="s">
        <v>86</v>
      </c>
      <c r="D46" s="70">
        <v>378</v>
      </c>
      <c r="E46" s="36" t="s">
        <v>25</v>
      </c>
      <c r="F46" s="50">
        <v>378</v>
      </c>
      <c r="G46" s="54" t="s">
        <v>25</v>
      </c>
      <c r="H46" s="12" t="s">
        <v>26</v>
      </c>
      <c r="I46" s="22"/>
    </row>
    <row r="47" spans="1:9" x14ac:dyDescent="0.25">
      <c r="A47" s="28"/>
      <c r="B47" s="25"/>
      <c r="C47" s="11" t="s">
        <v>87</v>
      </c>
      <c r="D47" s="61">
        <v>10</v>
      </c>
      <c r="E47" s="36" t="s">
        <v>22</v>
      </c>
      <c r="F47" s="50">
        <v>10</v>
      </c>
      <c r="G47" s="54" t="s">
        <v>22</v>
      </c>
      <c r="H47" s="12" t="s">
        <v>27</v>
      </c>
      <c r="I47" s="22"/>
    </row>
    <row r="48" spans="1:9" x14ac:dyDescent="0.25">
      <c r="A48" s="28"/>
      <c r="B48" s="25"/>
      <c r="C48" s="11" t="s">
        <v>88</v>
      </c>
      <c r="D48" s="67">
        <v>0.1</v>
      </c>
      <c r="E48" s="38" t="s">
        <v>60</v>
      </c>
      <c r="F48" s="51">
        <v>0.1</v>
      </c>
      <c r="G48" s="58" t="s">
        <v>60</v>
      </c>
      <c r="H48" s="12" t="s">
        <v>89</v>
      </c>
      <c r="I48" s="22"/>
    </row>
    <row r="49" spans="1:9" x14ac:dyDescent="0.25">
      <c r="A49" s="28"/>
      <c r="B49" s="27" t="s">
        <v>95</v>
      </c>
      <c r="C49" s="40" t="s">
        <v>91</v>
      </c>
      <c r="D49" s="69">
        <v>1147</v>
      </c>
      <c r="E49" s="36" t="s">
        <v>18</v>
      </c>
      <c r="F49" s="50">
        <v>1147</v>
      </c>
      <c r="G49" s="54" t="s">
        <v>18</v>
      </c>
      <c r="H49" s="12" t="s">
        <v>92</v>
      </c>
      <c r="I49" s="22"/>
    </row>
    <row r="50" spans="1:9" x14ac:dyDescent="0.25">
      <c r="A50" s="28"/>
      <c r="B50" s="25"/>
      <c r="C50" s="11" t="s">
        <v>93</v>
      </c>
      <c r="D50" s="63">
        <v>25</v>
      </c>
      <c r="E50" s="36" t="s">
        <v>22</v>
      </c>
      <c r="F50" s="50">
        <v>25</v>
      </c>
      <c r="G50" s="54" t="s">
        <v>22</v>
      </c>
      <c r="H50" s="12" t="s">
        <v>24</v>
      </c>
      <c r="I50" s="22"/>
    </row>
    <row r="51" spans="1:9" x14ac:dyDescent="0.25">
      <c r="A51" s="28"/>
      <c r="B51" s="25"/>
      <c r="C51" s="11" t="s">
        <v>94</v>
      </c>
      <c r="D51" s="67">
        <v>1.4999999999999999E-2</v>
      </c>
      <c r="E51" s="38" t="s">
        <v>60</v>
      </c>
      <c r="F51" s="51">
        <v>1.4999999999999999E-2</v>
      </c>
      <c r="G51" s="58" t="s">
        <v>60</v>
      </c>
      <c r="H51" s="12" t="s">
        <v>89</v>
      </c>
      <c r="I51" s="22"/>
    </row>
    <row r="52" spans="1:9" x14ac:dyDescent="0.25">
      <c r="A52" s="28"/>
      <c r="B52" s="27" t="s">
        <v>96</v>
      </c>
      <c r="C52" s="40" t="s">
        <v>97</v>
      </c>
      <c r="D52" s="69">
        <v>2800</v>
      </c>
      <c r="E52" s="36" t="s">
        <v>18</v>
      </c>
      <c r="F52" s="50">
        <v>2800</v>
      </c>
      <c r="G52" s="54" t="s">
        <v>18</v>
      </c>
      <c r="H52" s="12" t="s">
        <v>100</v>
      </c>
      <c r="I52" s="22"/>
    </row>
    <row r="53" spans="1:9" x14ac:dyDescent="0.25">
      <c r="A53" s="28"/>
      <c r="B53" s="27"/>
      <c r="C53" s="11" t="s">
        <v>98</v>
      </c>
      <c r="D53" s="63">
        <v>20</v>
      </c>
      <c r="E53" s="36" t="s">
        <v>22</v>
      </c>
      <c r="F53" s="50">
        <v>20</v>
      </c>
      <c r="G53" s="54" t="s">
        <v>22</v>
      </c>
      <c r="H53" s="12" t="s">
        <v>101</v>
      </c>
      <c r="I53" s="22"/>
    </row>
    <row r="54" spans="1:9" x14ac:dyDescent="0.25">
      <c r="A54" s="28"/>
      <c r="B54" s="27"/>
      <c r="C54" s="11" t="s">
        <v>99</v>
      </c>
      <c r="D54" s="67">
        <v>1.4999999999999999E-2</v>
      </c>
      <c r="E54" s="38" t="s">
        <v>60</v>
      </c>
      <c r="F54" s="51">
        <v>1.4999999999999999E-2</v>
      </c>
      <c r="G54" s="58" t="s">
        <v>60</v>
      </c>
      <c r="H54" s="12" t="s">
        <v>89</v>
      </c>
      <c r="I54" s="22"/>
    </row>
    <row r="55" spans="1:9" x14ac:dyDescent="0.25">
      <c r="A55" s="28"/>
      <c r="B55" s="27" t="s">
        <v>103</v>
      </c>
      <c r="C55" s="40" t="s">
        <v>104</v>
      </c>
      <c r="D55" s="41">
        <v>3000</v>
      </c>
      <c r="E55" s="36" t="s">
        <v>18</v>
      </c>
      <c r="F55" s="50">
        <v>3000</v>
      </c>
      <c r="G55" s="54" t="s">
        <v>18</v>
      </c>
      <c r="H55" s="12" t="s">
        <v>21</v>
      </c>
      <c r="I55" s="22"/>
    </row>
    <row r="56" spans="1:9" x14ac:dyDescent="0.25">
      <c r="A56" s="24"/>
      <c r="B56" s="27"/>
      <c r="C56" s="11" t="s">
        <v>105</v>
      </c>
      <c r="D56" s="71">
        <v>30</v>
      </c>
      <c r="E56" s="36" t="s">
        <v>22</v>
      </c>
      <c r="F56" s="50">
        <v>30</v>
      </c>
      <c r="G56" s="54" t="s">
        <v>22</v>
      </c>
      <c r="H56" s="12" t="s">
        <v>23</v>
      </c>
      <c r="I56" s="22"/>
    </row>
    <row r="57" spans="1:9" x14ac:dyDescent="0.25">
      <c r="A57" s="24"/>
      <c r="B57" s="14"/>
      <c r="C57" s="11" t="s">
        <v>106</v>
      </c>
      <c r="D57" s="67">
        <v>1.4999999999999999E-2</v>
      </c>
      <c r="E57" s="38" t="s">
        <v>60</v>
      </c>
      <c r="F57" s="51">
        <v>1.4999999999999999E-2</v>
      </c>
      <c r="G57" s="58" t="s">
        <v>60</v>
      </c>
      <c r="H57" s="12" t="s">
        <v>89</v>
      </c>
      <c r="I57" s="22"/>
    </row>
    <row r="58" spans="1:9" x14ac:dyDescent="0.25">
      <c r="A58" s="24"/>
      <c r="B58" s="14" t="s">
        <v>102</v>
      </c>
      <c r="C58" s="40" t="s">
        <v>107</v>
      </c>
      <c r="D58" s="69">
        <v>427</v>
      </c>
      <c r="E58" s="36" t="s">
        <v>17</v>
      </c>
      <c r="F58" s="50">
        <v>427</v>
      </c>
      <c r="G58" s="54" t="s">
        <v>17</v>
      </c>
      <c r="H58" s="12" t="s">
        <v>28</v>
      </c>
      <c r="I58" s="22"/>
    </row>
    <row r="59" spans="1:9" x14ac:dyDescent="0.25">
      <c r="A59" s="24"/>
      <c r="B59" s="14"/>
      <c r="C59" s="40" t="s">
        <v>108</v>
      </c>
      <c r="D59" s="69">
        <v>608</v>
      </c>
      <c r="E59" s="36" t="s">
        <v>29</v>
      </c>
      <c r="F59" s="50">
        <v>608</v>
      </c>
      <c r="G59" s="54" t="s">
        <v>29</v>
      </c>
      <c r="H59" s="12" t="s">
        <v>30</v>
      </c>
      <c r="I59" s="22"/>
    </row>
    <row r="60" spans="1:9" x14ac:dyDescent="0.25">
      <c r="A60" s="24"/>
      <c r="B60" s="14"/>
      <c r="C60" s="11" t="s">
        <v>109</v>
      </c>
      <c r="D60" s="63">
        <v>10</v>
      </c>
      <c r="E60" s="36" t="s">
        <v>22</v>
      </c>
      <c r="F60" s="50">
        <v>10</v>
      </c>
      <c r="G60" s="54" t="s">
        <v>22</v>
      </c>
      <c r="H60" s="12" t="s">
        <v>113</v>
      </c>
      <c r="I60" s="22"/>
    </row>
    <row r="61" spans="1:9" x14ac:dyDescent="0.25">
      <c r="A61" s="24"/>
      <c r="B61" s="14"/>
      <c r="C61" s="11" t="s">
        <v>112</v>
      </c>
      <c r="D61" s="63">
        <v>0.92</v>
      </c>
      <c r="E61" s="36" t="s">
        <v>60</v>
      </c>
      <c r="F61" s="53">
        <v>0.92</v>
      </c>
      <c r="G61" s="54" t="s">
        <v>60</v>
      </c>
      <c r="H61" s="12"/>
      <c r="I61" s="22"/>
    </row>
    <row r="62" spans="1:9" x14ac:dyDescent="0.25">
      <c r="A62" s="24"/>
      <c r="B62" s="14"/>
      <c r="C62" s="11" t="s">
        <v>114</v>
      </c>
      <c r="D62" s="64" t="s">
        <v>115</v>
      </c>
      <c r="E62" s="36" t="s">
        <v>60</v>
      </c>
      <c r="F62" s="53">
        <v>0.8</v>
      </c>
      <c r="G62" s="54" t="s">
        <v>60</v>
      </c>
      <c r="H62" s="12"/>
      <c r="I62" s="22"/>
    </row>
    <row r="63" spans="1:9" x14ac:dyDescent="0.25">
      <c r="A63" s="24"/>
      <c r="B63" s="14"/>
      <c r="C63" s="40" t="s">
        <v>116</v>
      </c>
      <c r="D63" s="70">
        <v>142</v>
      </c>
      <c r="E63" s="36" t="s">
        <v>42</v>
      </c>
      <c r="F63" s="50">
        <v>142</v>
      </c>
      <c r="G63" s="54" t="s">
        <v>117</v>
      </c>
      <c r="H63" s="12"/>
      <c r="I63" s="22"/>
    </row>
    <row r="64" spans="1:9" x14ac:dyDescent="0.25">
      <c r="A64" s="24"/>
      <c r="B64" s="14"/>
      <c r="C64" s="11" t="s">
        <v>118</v>
      </c>
      <c r="D64" s="65">
        <v>5.0000000000000001E-3</v>
      </c>
      <c r="E64" s="36" t="s">
        <v>60</v>
      </c>
      <c r="F64" s="51">
        <v>5.0000000000000001E-3</v>
      </c>
      <c r="G64" s="54" t="s">
        <v>60</v>
      </c>
      <c r="H64" s="12" t="s">
        <v>119</v>
      </c>
      <c r="I64" s="22"/>
    </row>
    <row r="65" spans="1:9" x14ac:dyDescent="0.25">
      <c r="A65" s="24"/>
      <c r="B65" s="14"/>
      <c r="C65" s="40" t="s">
        <v>83</v>
      </c>
      <c r="D65" s="69">
        <v>100</v>
      </c>
      <c r="E65" s="39" t="s">
        <v>84</v>
      </c>
      <c r="F65" s="50">
        <v>100</v>
      </c>
      <c r="G65" s="55" t="s">
        <v>84</v>
      </c>
      <c r="H65" s="12" t="s">
        <v>47</v>
      </c>
      <c r="I65" s="22"/>
    </row>
    <row r="66" spans="1:9" x14ac:dyDescent="0.25">
      <c r="A66" s="24"/>
      <c r="B66" s="15"/>
      <c r="C66" s="11" t="s">
        <v>41</v>
      </c>
      <c r="D66" s="67">
        <v>0.13800000000000001</v>
      </c>
      <c r="E66" s="39" t="s">
        <v>60</v>
      </c>
      <c r="F66" s="51">
        <v>0.08</v>
      </c>
      <c r="G66" s="55" t="s">
        <v>60</v>
      </c>
      <c r="H66" s="12" t="s">
        <v>69</v>
      </c>
      <c r="I66" s="22"/>
    </row>
    <row r="67" spans="1:9" x14ac:dyDescent="0.25">
      <c r="A67" s="24"/>
      <c r="B67" s="15"/>
      <c r="C67" s="11" t="s">
        <v>77</v>
      </c>
      <c r="D67" s="67">
        <v>0.03</v>
      </c>
      <c r="E67" s="39"/>
      <c r="F67" s="51">
        <v>0.03</v>
      </c>
      <c r="G67" s="55" t="s">
        <v>60</v>
      </c>
      <c r="H67" s="12" t="s">
        <v>78</v>
      </c>
      <c r="I67" s="22"/>
    </row>
    <row r="68" spans="1:9" x14ac:dyDescent="0.25">
      <c r="A68" s="24"/>
      <c r="B68" s="15"/>
      <c r="C68" s="11" t="s">
        <v>71</v>
      </c>
      <c r="D68" s="62" t="s">
        <v>72</v>
      </c>
      <c r="E68" s="36" t="s">
        <v>37</v>
      </c>
      <c r="F68" s="50" t="s">
        <v>72</v>
      </c>
      <c r="G68" s="54" t="s">
        <v>37</v>
      </c>
      <c r="H68" s="12"/>
      <c r="I68" s="22"/>
    </row>
    <row r="69" spans="1:9" x14ac:dyDescent="0.25">
      <c r="A69" s="24"/>
      <c r="B69" s="15"/>
      <c r="C69" s="40" t="s">
        <v>73</v>
      </c>
      <c r="D69" s="68">
        <v>22000</v>
      </c>
      <c r="E69" s="36" t="s">
        <v>38</v>
      </c>
      <c r="F69" s="50">
        <v>15000</v>
      </c>
      <c r="G69" s="54" t="s">
        <v>38</v>
      </c>
      <c r="H69" s="12"/>
      <c r="I69" s="22"/>
    </row>
    <row r="70" spans="1:9" x14ac:dyDescent="0.25">
      <c r="A70" s="24"/>
      <c r="B70" s="15"/>
      <c r="C70" s="11" t="s">
        <v>76</v>
      </c>
      <c r="D70" s="63">
        <v>0.24</v>
      </c>
      <c r="E70" s="39" t="s">
        <v>37</v>
      </c>
      <c r="F70" s="53">
        <v>0.24</v>
      </c>
      <c r="G70" s="55" t="s">
        <v>37</v>
      </c>
      <c r="H70" s="12"/>
      <c r="I70" s="22"/>
    </row>
    <row r="71" spans="1:9" x14ac:dyDescent="0.25">
      <c r="A71" s="24"/>
      <c r="B71" s="15"/>
      <c r="C71" s="40" t="s">
        <v>40</v>
      </c>
      <c r="D71" s="68">
        <v>12000</v>
      </c>
      <c r="E71" s="36" t="s">
        <v>38</v>
      </c>
      <c r="F71" s="50">
        <v>10000</v>
      </c>
      <c r="G71" s="54" t="s">
        <v>38</v>
      </c>
      <c r="H71" s="12"/>
      <c r="I71" s="22"/>
    </row>
    <row r="72" spans="1:9" x14ac:dyDescent="0.25">
      <c r="A72" s="24"/>
      <c r="B72" s="15"/>
      <c r="C72" s="11" t="s">
        <v>152</v>
      </c>
      <c r="D72" s="63">
        <v>0.8</v>
      </c>
      <c r="E72" s="39" t="s">
        <v>39</v>
      </c>
      <c r="F72" s="53">
        <v>0.8</v>
      </c>
      <c r="G72" s="55" t="s">
        <v>39</v>
      </c>
      <c r="H72" s="12"/>
      <c r="I72" s="22"/>
    </row>
    <row r="73" spans="1:9" x14ac:dyDescent="0.25">
      <c r="A73" s="24"/>
      <c r="B73" s="15"/>
      <c r="C73" s="40" t="s">
        <v>149</v>
      </c>
      <c r="D73" s="68">
        <v>10000</v>
      </c>
      <c r="E73" s="36" t="s">
        <v>42</v>
      </c>
      <c r="F73" s="50">
        <v>10000</v>
      </c>
      <c r="G73" s="54" t="s">
        <v>42</v>
      </c>
      <c r="H73" s="12" t="s">
        <v>150</v>
      </c>
      <c r="I73" s="22"/>
    </row>
    <row r="74" spans="1:9" x14ac:dyDescent="0.25">
      <c r="A74" s="24"/>
      <c r="B74" s="15"/>
      <c r="C74" s="11" t="s">
        <v>80</v>
      </c>
      <c r="D74" s="63">
        <v>50</v>
      </c>
      <c r="E74" s="36" t="s">
        <v>44</v>
      </c>
      <c r="F74" s="50">
        <v>50</v>
      </c>
      <c r="G74" s="54" t="s">
        <v>44</v>
      </c>
      <c r="H74" s="12" t="s">
        <v>44</v>
      </c>
      <c r="I74" s="22"/>
    </row>
    <row r="75" spans="1:9" x14ac:dyDescent="0.25">
      <c r="A75" s="24"/>
      <c r="B75" s="15"/>
      <c r="C75" s="11" t="s">
        <v>81</v>
      </c>
      <c r="D75" s="61">
        <v>300</v>
      </c>
      <c r="E75" s="36" t="s">
        <v>82</v>
      </c>
      <c r="F75" s="50">
        <v>300</v>
      </c>
      <c r="G75" s="54" t="s">
        <v>45</v>
      </c>
      <c r="H75" s="12" t="s">
        <v>46</v>
      </c>
      <c r="I75" s="22"/>
    </row>
    <row r="76" spans="1:9" x14ac:dyDescent="0.25">
      <c r="A76" s="24"/>
      <c r="B76" s="15"/>
      <c r="C76" s="11" t="s">
        <v>83</v>
      </c>
      <c r="D76" s="69">
        <v>100</v>
      </c>
      <c r="E76" s="39" t="s">
        <v>84</v>
      </c>
      <c r="F76" s="50">
        <v>100</v>
      </c>
      <c r="G76" s="55" t="s">
        <v>84</v>
      </c>
      <c r="H76" s="12" t="s">
        <v>47</v>
      </c>
      <c r="I76" s="22"/>
    </row>
    <row r="77" spans="1:9" x14ac:dyDescent="0.25">
      <c r="A77" s="29">
        <v>4.3</v>
      </c>
      <c r="B77" s="25" t="s">
        <v>121</v>
      </c>
      <c r="C77" s="40" t="s">
        <v>122</v>
      </c>
      <c r="D77" s="31"/>
      <c r="E77" s="36"/>
      <c r="F77" s="50"/>
      <c r="G77" s="54"/>
      <c r="H77" s="12"/>
      <c r="I77" s="22"/>
    </row>
    <row r="78" spans="1:9" x14ac:dyDescent="0.25">
      <c r="A78" s="24"/>
      <c r="B78" s="14"/>
      <c r="C78" s="11" t="s">
        <v>127</v>
      </c>
      <c r="D78" s="68">
        <v>12000</v>
      </c>
      <c r="E78" s="36" t="s">
        <v>18</v>
      </c>
      <c r="F78" s="50">
        <v>12000</v>
      </c>
      <c r="G78" s="54" t="s">
        <v>18</v>
      </c>
      <c r="H78" s="12" t="s">
        <v>31</v>
      </c>
      <c r="I78" s="22"/>
    </row>
    <row r="79" spans="1:9" x14ac:dyDescent="0.25">
      <c r="A79" s="24"/>
      <c r="B79" s="14"/>
      <c r="C79" s="11" t="s">
        <v>128</v>
      </c>
      <c r="D79" s="68">
        <v>9000</v>
      </c>
      <c r="E79" s="36" t="s">
        <v>18</v>
      </c>
      <c r="F79" s="50">
        <v>9000</v>
      </c>
      <c r="G79" s="54" t="s">
        <v>18</v>
      </c>
      <c r="H79" s="12" t="s">
        <v>32</v>
      </c>
      <c r="I79" s="22"/>
    </row>
    <row r="80" spans="1:9" x14ac:dyDescent="0.25">
      <c r="A80" s="24"/>
      <c r="B80" s="14"/>
      <c r="C80" s="11" t="s">
        <v>129</v>
      </c>
      <c r="D80" s="68">
        <v>8000</v>
      </c>
      <c r="E80" s="36" t="s">
        <v>18</v>
      </c>
      <c r="F80" s="50">
        <v>8000</v>
      </c>
      <c r="G80" s="54" t="s">
        <v>18</v>
      </c>
      <c r="H80" s="12" t="s">
        <v>33</v>
      </c>
      <c r="I80" s="22"/>
    </row>
    <row r="81" spans="1:9" x14ac:dyDescent="0.25">
      <c r="A81" s="24"/>
      <c r="B81" s="14"/>
      <c r="C81" s="11" t="s">
        <v>130</v>
      </c>
      <c r="D81" s="68">
        <v>6000</v>
      </c>
      <c r="E81" s="36" t="s">
        <v>18</v>
      </c>
      <c r="F81" s="50">
        <v>6000</v>
      </c>
      <c r="G81" s="54" t="s">
        <v>18</v>
      </c>
      <c r="H81" s="12" t="s">
        <v>34</v>
      </c>
      <c r="I81" s="22"/>
    </row>
    <row r="82" spans="1:9" x14ac:dyDescent="0.25">
      <c r="A82" s="24"/>
      <c r="B82" s="14"/>
      <c r="C82" s="11" t="s">
        <v>126</v>
      </c>
      <c r="D82" s="68">
        <v>6000</v>
      </c>
      <c r="E82" s="36" t="s">
        <v>18</v>
      </c>
      <c r="F82" s="50">
        <v>6000</v>
      </c>
      <c r="G82" s="54" t="s">
        <v>18</v>
      </c>
      <c r="H82" s="12" t="s">
        <v>35</v>
      </c>
      <c r="I82" s="22"/>
    </row>
    <row r="83" spans="1:9" x14ac:dyDescent="0.25">
      <c r="A83" s="24"/>
      <c r="B83" s="14"/>
      <c r="C83" s="11" t="s">
        <v>123</v>
      </c>
      <c r="D83" s="61">
        <v>5</v>
      </c>
      <c r="E83" s="36" t="s">
        <v>22</v>
      </c>
      <c r="F83" s="50">
        <v>5</v>
      </c>
      <c r="G83" s="54" t="s">
        <v>22</v>
      </c>
      <c r="H83" s="12" t="s">
        <v>36</v>
      </c>
      <c r="I83" s="22"/>
    </row>
    <row r="84" spans="1:9" x14ac:dyDescent="0.25">
      <c r="A84" s="24"/>
      <c r="B84" s="14"/>
      <c r="C84" s="11" t="s">
        <v>124</v>
      </c>
      <c r="D84" s="67">
        <v>0.02</v>
      </c>
      <c r="E84" s="38" t="s">
        <v>60</v>
      </c>
      <c r="F84" s="51">
        <v>0.02</v>
      </c>
      <c r="G84" s="58" t="s">
        <v>60</v>
      </c>
      <c r="H84" s="12" t="s">
        <v>89</v>
      </c>
      <c r="I84" s="22"/>
    </row>
    <row r="85" spans="1:9" x14ac:dyDescent="0.25">
      <c r="A85" s="29">
        <v>4.4000000000000004</v>
      </c>
      <c r="B85" s="25" t="s">
        <v>125</v>
      </c>
      <c r="C85" s="11"/>
      <c r="D85" s="31"/>
      <c r="E85" s="39"/>
      <c r="F85" s="53"/>
      <c r="G85" s="55"/>
      <c r="H85" s="12"/>
      <c r="I85" s="22"/>
    </row>
    <row r="86" spans="1:9" x14ac:dyDescent="0.25">
      <c r="A86" s="29"/>
      <c r="B86" s="25"/>
      <c r="C86" s="40" t="s">
        <v>151</v>
      </c>
      <c r="D86" s="67">
        <v>0.12</v>
      </c>
      <c r="E86" s="39" t="s">
        <v>60</v>
      </c>
      <c r="F86" s="51">
        <v>0.12</v>
      </c>
      <c r="G86" s="55" t="s">
        <v>60</v>
      </c>
      <c r="H86" s="12" t="s">
        <v>131</v>
      </c>
      <c r="I86" s="22"/>
    </row>
    <row r="87" spans="1:9" x14ac:dyDescent="0.25">
      <c r="A87" s="29"/>
      <c r="B87" s="25"/>
      <c r="C87" s="40" t="s">
        <v>153</v>
      </c>
      <c r="D87" s="67">
        <v>0.12</v>
      </c>
      <c r="E87" s="39" t="s">
        <v>60</v>
      </c>
      <c r="F87" s="51">
        <v>0.12</v>
      </c>
      <c r="G87" s="55" t="s">
        <v>60</v>
      </c>
      <c r="H87" s="12" t="s">
        <v>131</v>
      </c>
      <c r="I87" s="22"/>
    </row>
    <row r="88" spans="1:9" x14ac:dyDescent="0.25">
      <c r="A88" s="24"/>
      <c r="B88" s="14"/>
      <c r="C88" s="40" t="s">
        <v>154</v>
      </c>
      <c r="D88" s="67">
        <v>0.12</v>
      </c>
      <c r="E88" s="39" t="s">
        <v>60</v>
      </c>
      <c r="F88" s="51">
        <v>0.12</v>
      </c>
      <c r="G88" s="55" t="s">
        <v>60</v>
      </c>
      <c r="H88" s="12" t="s">
        <v>131</v>
      </c>
      <c r="I88" s="22"/>
    </row>
    <row r="89" spans="1:9" x14ac:dyDescent="0.25">
      <c r="F89" s="72"/>
      <c r="G89" s="3"/>
      <c r="H89"/>
    </row>
    <row r="90" spans="1:9" x14ac:dyDescent="0.25">
      <c r="H90"/>
    </row>
    <row r="91" spans="1:9" x14ac:dyDescent="0.25">
      <c r="H91"/>
    </row>
    <row r="92" spans="1:9" x14ac:dyDescent="0.25">
      <c r="H92"/>
    </row>
  </sheetData>
  <mergeCells count="2">
    <mergeCell ref="A1:I1"/>
    <mergeCell ref="C3:I3"/>
  </mergeCells>
  <phoneticPr fontId="17" type="noConversion"/>
  <hyperlinks>
    <hyperlink ref="I21:I22" r:id="rId1" display="CONTRIBUTIONS A L’ANALYSE DES  STATISTIQUES SUR LA STRUCTURE DES  MÉNAGES AU SÉNÉGAL" xr:uid="{00000000-0004-0000-0100-000000000000}"/>
  </hyperlinks>
  <pageMargins left="0.7" right="0.7" top="0.75" bottom="0.75" header="0.3" footer="0.3"/>
  <pageSetup orientation="portrait" horizontalDpi="90" verticalDpi="9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Country parameters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Key Input Parameters OnSSET</dc:title>
  <dc:subject/>
  <dc:creator>alex.lari.kor@gmail.com</dc:creator>
  <cp:keywords>OnSSET</cp:keywords>
  <dc:description/>
  <cp:lastModifiedBy>Andreas Sahlberg</cp:lastModifiedBy>
  <cp:revision/>
  <dcterms:created xsi:type="dcterms:W3CDTF">2021-05-20T08:43:48Z</dcterms:created>
  <dcterms:modified xsi:type="dcterms:W3CDTF">2026-02-23T14:41:51Z</dcterms:modified>
  <cp:category/>
  <cp:contentStatus/>
</cp:coreProperties>
</file>